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anton.vazquez\Downloads\"/>
    </mc:Choice>
  </mc:AlternateContent>
  <xr:revisionPtr revIDLastSave="0" documentId="13_ncr:1_{6E7F9170-7090-459D-986E-A24DBA144FCE}" xr6:coauthVersionLast="47" xr6:coauthVersionMax="47" xr10:uidLastSave="{00000000-0000-0000-0000-000000000000}"/>
  <bookViews>
    <workbookView xWindow="22932" yWindow="-108" windowWidth="41496" windowHeight="16776" xr2:uid="{00000000-000D-0000-FFFF-FFFF00000000}"/>
  </bookViews>
  <sheets>
    <sheet name="DLP_Excepciones_MVP_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Q17" i="1" s="1"/>
  <c r="N16" i="1"/>
  <c r="Q16" i="1" s="1"/>
  <c r="Q15" i="1"/>
  <c r="N15" i="1"/>
  <c r="Q14" i="1"/>
  <c r="N14" i="1"/>
  <c r="N13" i="1"/>
  <c r="Q13" i="1" s="1"/>
  <c r="N12" i="1"/>
  <c r="Q12" i="1" s="1"/>
  <c r="N11" i="1"/>
  <c r="Q11" i="1" s="1"/>
  <c r="N10" i="1"/>
  <c r="Q10" i="1" s="1"/>
  <c r="Q9" i="1"/>
  <c r="N9" i="1"/>
  <c r="N8" i="1"/>
  <c r="Q8" i="1" s="1"/>
  <c r="N7" i="1"/>
  <c r="Q7" i="1" s="1"/>
  <c r="N6" i="1"/>
  <c r="Q6" i="1" s="1"/>
  <c r="N5" i="1"/>
  <c r="Q5" i="1" s="1"/>
  <c r="N4" i="1"/>
  <c r="Q4" i="1" s="1"/>
  <c r="N3" i="1"/>
  <c r="Q3" i="1" s="1"/>
  <c r="N2" i="1"/>
  <c r="Q2" i="1" s="1"/>
</calcChain>
</file>

<file path=xl/sharedStrings.xml><?xml version="1.0" encoding="utf-8"?>
<sst xmlns="http://schemas.openxmlformats.org/spreadsheetml/2006/main" count="214" uniqueCount="107">
  <si>
    <t>IDExcepcion</t>
  </si>
  <si>
    <t>EnviarFormulario</t>
  </si>
  <si>
    <t>EstadoComunicacion</t>
  </si>
  <si>
    <t>EstadoRespuestaFormulario</t>
  </si>
  <si>
    <t>Solicitante</t>
  </si>
  <si>
    <t>Departamento</t>
  </si>
  <si>
    <t>Canal</t>
  </si>
  <si>
    <t>DirectivaDLP</t>
  </si>
  <si>
    <t>TipoDatoSensible</t>
  </si>
  <si>
    <t>JustificacionNegocio</t>
  </si>
  <si>
    <t>Aprobador</t>
  </si>
  <si>
    <t>EstadoAprobacion</t>
  </si>
  <si>
    <t>FechaCaducidad</t>
  </si>
  <si>
    <t>EstadoExcepcion</t>
  </si>
  <si>
    <t>Alertas30Dias</t>
  </si>
  <si>
    <t>FechaUltimaActividad</t>
  </si>
  <si>
    <t>ListaParaEvaluacion</t>
  </si>
  <si>
    <t>PuntuacionRiesgo</t>
  </si>
  <si>
    <t>NivelRiesgo</t>
  </si>
  <si>
    <t>ExplicacionRiesgo</t>
  </si>
  <si>
    <t>AccionRecomendada</t>
  </si>
  <si>
    <t>FechaUltimaEvaluacionRiesgo</t>
  </si>
  <si>
    <t>DLP-0001</t>
  </si>
  <si>
    <t>Sí</t>
  </si>
  <si>
    <t>Enviado</t>
  </si>
  <si>
    <t>Completado</t>
  </si>
  <si>
    <t>ana.soler@example.com</t>
  </si>
  <si>
    <t>Operaciones</t>
  </si>
  <si>
    <t>Endpoint devices</t>
  </si>
  <si>
    <t>[Endpoint] EXCL Non-medical Data</t>
  </si>
  <si>
    <t>Spain DNI</t>
  </si>
  <si>
    <t>Excepción temporal para permitir tratamiento operativo de documentación con identificadores nacionales en endpoint.</t>
  </si>
  <si>
    <t>laura.mendez@example.com</t>
  </si>
  <si>
    <t>Aprobado</t>
  </si>
  <si>
    <t>DLP-0002</t>
  </si>
  <si>
    <t>bruno.martin@example.com</t>
  </si>
  <si>
    <t>Atención sanitaria</t>
  </si>
  <si>
    <t>Exchange</t>
  </si>
  <si>
    <t>[Exchange] EXCL Medical Data - Exchange to Webmail</t>
  </si>
  <si>
    <t>Datos médicos / póliza</t>
  </si>
  <si>
    <t>Envío justificado de documentación sanitaria a buzones externos autorizados por proceso asistencial.</t>
  </si>
  <si>
    <t>diego.romero@example.com</t>
  </si>
  <si>
    <t>DLP-0003</t>
  </si>
  <si>
    <t>irene.vargas@example.com</t>
  </si>
  <si>
    <t>Proyectos</t>
  </si>
  <si>
    <t>SharePoint</t>
  </si>
  <si>
    <t>[SharePoint] EXCL Extraction of large files</t>
  </si>
  <si>
    <t>Extracción de ficheros grandes</t>
  </si>
  <si>
    <t>Excepción de usuario para descarga puntual de documentación de proyecto desde SharePoint.</t>
  </si>
  <si>
    <t>clara.torres@example.com</t>
  </si>
  <si>
    <t>DLP-0004</t>
  </si>
  <si>
    <t>elena.rubio@example.com</t>
  </si>
  <si>
    <t>Dirección</t>
  </si>
  <si>
    <t>OneDrive</t>
  </si>
  <si>
    <t>[OneDrive] EXCL Extraction of large files</t>
  </si>
  <si>
    <t>Excepción temporal para sincronización y extracción controlada de ficheros corporativos desde OneDrive.</t>
  </si>
  <si>
    <t>hector.arias@example.com</t>
  </si>
  <si>
    <t>DLP-0005</t>
  </si>
  <si>
    <t>mateo.navarro@example.com</t>
  </si>
  <si>
    <t>Clínico</t>
  </si>
  <si>
    <t>[Endpoint] EXCL Medical Data</t>
  </si>
  <si>
    <t>Datos médicos / DNI</t>
  </si>
  <si>
    <t>Tratamiento temporal de documentos médicos desde dispositivo corporativo durante una migración controlada.</t>
  </si>
  <si>
    <t>DLP-0006</t>
  </si>
  <si>
    <t>silvia.pardo@example.com</t>
  </si>
  <si>
    <t>Administración</t>
  </si>
  <si>
    <t>[Exchange] EXCL Non-medical Data - General Email</t>
  </si>
  <si>
    <t>Envío puntual de documentación administrativa no médica a destinatarios externos autorizados.</t>
  </si>
  <si>
    <t>DLP-0007</t>
  </si>
  <si>
    <t>alvaro.rey@example.com</t>
  </si>
  <si>
    <t>IT</t>
  </si>
  <si>
    <t>[Endpoint] EXCL Extraction of large files</t>
  </si>
  <si>
    <t>Excepción para transferencia controlada de ficheros grandes durante tareas técnicas autorizadas.</t>
  </si>
  <si>
    <t>DLP-0008</t>
  </si>
  <si>
    <t>lucia.ortega@example.com</t>
  </si>
  <si>
    <t>[Exchange] EXCL Non-medical Data - Exchange to Webmail</t>
  </si>
  <si>
    <t>Excepción limitada para intercambio de documentación administrativa con buzón web externo autorizado.</t>
  </si>
  <si>
    <t>DLP-0009</t>
  </si>
  <si>
    <t>marcos.vidal@example.com</t>
  </si>
  <si>
    <t>Excepción solicitada para correo externo, pendiente de validar si existe actividad real asociada.</t>
  </si>
  <si>
    <t>DLP-0010</t>
  </si>
  <si>
    <t>nuria.santos@example.com</t>
  </si>
  <si>
    <t>Excepción aprobada para extracción desde SharePoint; se debe validar uso real en alertas.</t>
  </si>
  <si>
    <t>DLP-0011</t>
  </si>
  <si>
    <t>marta.cano@example.com</t>
  </si>
  <si>
    <t>Excepción aprobada previamente para intercambio con webmail, actualmente fuera de vigencia.</t>
  </si>
  <si>
    <t>DLP-0012</t>
  </si>
  <si>
    <t>raul.delgado@example.com</t>
  </si>
  <si>
    <t>Excepción administrativa aprobada anteriormente, pendiente de revisión por caducidad.</t>
  </si>
  <si>
    <t>DLP-0013</t>
  </si>
  <si>
    <t>Pendiente</t>
  </si>
  <si>
    <t>javier.leon@example.com</t>
  </si>
  <si>
    <t>Spain DNI / tarjeta</t>
  </si>
  <si>
    <t>Solicitud pendiente de formulario completo antes de evaluar riesgo o actividad.</t>
  </si>
  <si>
    <t>DLP-0014</t>
  </si>
  <si>
    <t>yolanda.mora@example.com</t>
  </si>
  <si>
    <t>Solicitud pendiente de aprobación formal por el responsable de seguridad.</t>
  </si>
  <si>
    <t>DLP-0015</t>
  </si>
  <si>
    <t>federico.rojas@example.com</t>
  </si>
  <si>
    <t>Solicitud rechazada por no justificar adecuadamente la necesidad de excepción.</t>
  </si>
  <si>
    <t>Rechazado</t>
  </si>
  <si>
    <t>DLP-0016</t>
  </si>
  <si>
    <t>No</t>
  </si>
  <si>
    <t>No enviado</t>
  </si>
  <si>
    <t>No iniciado</t>
  </si>
  <si>
    <t>paula.serra@example.com</t>
  </si>
  <si>
    <t>Borrador de excepción aún no enviado al usuario ni al flujo de aprobación.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</si>
</sst>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3">
    <dxf>
      <font>
        <b/>
      </font>
      <fill>
        <patternFill>
          <bgColor rgb="FFF4B084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pcionesDLP" displayName="ExcepcionesDLP" ref="A1:V17">
  <tableColumns count="22">
    <tableColumn id="1" xr3:uid="{00000000-0010-0000-0000-000001000000}" name="IDExcepcion"/>
    <tableColumn id="2" xr3:uid="{00000000-0010-0000-0000-000002000000}" name="EnviarFormulario"/>
    <tableColumn id="3" xr3:uid="{00000000-0010-0000-0000-000003000000}" name="EstadoComunicacion"/>
    <tableColumn id="4" xr3:uid="{00000000-0010-0000-0000-000004000000}" name="EstadoRespuestaFormulario"/>
    <tableColumn id="5" xr3:uid="{00000000-0010-0000-0000-000005000000}" name="Solicitante"/>
    <tableColumn id="6" xr3:uid="{00000000-0010-0000-0000-000006000000}" name="Departamento"/>
    <tableColumn id="7" xr3:uid="{00000000-0010-0000-0000-000007000000}" name="Canal"/>
    <tableColumn id="8" xr3:uid="{00000000-0010-0000-0000-000008000000}" name="DirectivaDLP"/>
    <tableColumn id="9" xr3:uid="{00000000-0010-0000-0000-000009000000}" name="TipoDatoSensible"/>
    <tableColumn id="10" xr3:uid="{00000000-0010-0000-0000-00000A000000}" name="JustificacionNegocio"/>
    <tableColumn id="11" xr3:uid="{00000000-0010-0000-0000-00000B000000}" name="Aprobador"/>
    <tableColumn id="12" xr3:uid="{00000000-0010-0000-0000-00000C000000}" name="EstadoAprobacion"/>
    <tableColumn id="13" xr3:uid="{00000000-0010-0000-0000-00000D000000}" name="FechaCaducidad"/>
    <tableColumn id="14" xr3:uid="{00000000-0010-0000-0000-00000E000000}" name="EstadoExcepcion"/>
    <tableColumn id="15" xr3:uid="{00000000-0010-0000-0000-00000F000000}" name="Alertas30Dias"/>
    <tableColumn id="16" xr3:uid="{00000000-0010-0000-0000-000010000000}" name="FechaUltimaActividad"/>
    <tableColumn id="17" xr3:uid="{00000000-0010-0000-0000-000011000000}" name="ListaParaEvaluacion"/>
    <tableColumn id="18" xr3:uid="{00000000-0010-0000-0000-000012000000}" name="PuntuacionRiesgo"/>
    <tableColumn id="19" xr3:uid="{00000000-0010-0000-0000-000013000000}" name="NivelRiesgo"/>
    <tableColumn id="20" xr3:uid="{00000000-0010-0000-0000-000014000000}" name="ExplicacionRiesgo"/>
    <tableColumn id="21" xr3:uid="{00000000-0010-0000-0000-000015000000}" name="AccionRecomendada"/>
    <tableColumn id="22" xr3:uid="{00000000-0010-0000-0000-000016000000}" name="FechaUltimaEvaluacionRies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workbookViewId="0">
      <selection activeCell="I23" sqref="I23"/>
    </sheetView>
  </sheetViews>
  <sheetFormatPr baseColWidth="10" defaultColWidth="8.6640625" defaultRowHeight="14"/>
  <cols>
    <col min="1" max="1" width="13" customWidth="1"/>
    <col min="2" max="2" width="14" customWidth="1"/>
    <col min="3" max="3" width="20" customWidth="1"/>
    <col min="4" max="4" width="24" customWidth="1"/>
    <col min="5" max="5" width="28" customWidth="1"/>
    <col min="6" max="7" width="18" customWidth="1"/>
    <col min="8" max="8" width="42" customWidth="1"/>
    <col min="9" max="9" width="28" customWidth="1"/>
    <col min="10" max="10" width="55" customWidth="1"/>
    <col min="11" max="11" width="28" customWidth="1"/>
    <col min="12" max="12" width="18" customWidth="1"/>
    <col min="13" max="13" width="16" customWidth="1"/>
    <col min="14" max="14" width="20" customWidth="1"/>
    <col min="15" max="15" width="16" customWidth="1"/>
    <col min="16" max="17" width="20" customWidth="1"/>
    <col min="18" max="18" width="18" customWidth="1"/>
    <col min="19" max="19" width="16" customWidth="1"/>
    <col min="20" max="20" width="50" customWidth="1"/>
    <col min="21" max="21" width="24" customWidth="1"/>
    <col min="22" max="22" width="26" customWidth="1"/>
  </cols>
  <sheetData>
    <row r="1" spans="1:22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3">
        <v>46208</v>
      </c>
      <c r="N2" s="2" t="str">
        <f t="shared" ref="N2:N17" ca="1" si="0">IF(L2&lt;&gt;"Aprobado",IF(L2="Rechazado","Rechazada",IF(L2="Pendiente","Pendiente de aprobación","Borrador")),IF(M2&lt;TODAY(),"Caducada","Activa"))</f>
        <v>Activa</v>
      </c>
      <c r="O2" s="2"/>
      <c r="P2" s="3"/>
      <c r="Q2" s="2" t="str">
        <f t="shared" ref="Q2:Q17" ca="1" si="1">IF(AND(C2="Enviado",D2="Completado",L2="Aprobado",OR(N2="Activa",N2="Caducada")),"Sí","No")</f>
        <v>Sí</v>
      </c>
      <c r="R2" s="2"/>
      <c r="S2" s="2"/>
      <c r="T2" s="2"/>
      <c r="U2" s="2"/>
      <c r="V2" s="3"/>
    </row>
    <row r="3" spans="1:22" ht="28">
      <c r="A3" s="2" t="s">
        <v>34</v>
      </c>
      <c r="B3" s="2" t="s">
        <v>23</v>
      </c>
      <c r="C3" s="2" t="s">
        <v>24</v>
      </c>
      <c r="D3" s="2" t="s">
        <v>25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33</v>
      </c>
      <c r="M3" s="3">
        <v>46198</v>
      </c>
      <c r="N3" s="2" t="str">
        <f t="shared" ca="1" si="0"/>
        <v>Activa</v>
      </c>
      <c r="O3" s="2"/>
      <c r="P3" s="3"/>
      <c r="Q3" s="2" t="str">
        <f t="shared" ca="1" si="1"/>
        <v>Sí</v>
      </c>
      <c r="R3" s="2"/>
      <c r="S3" s="2"/>
      <c r="T3" s="2"/>
      <c r="U3" s="2"/>
      <c r="V3" s="3"/>
    </row>
    <row r="4" spans="1:22" ht="28">
      <c r="A4" s="2" t="s">
        <v>42</v>
      </c>
      <c r="B4" s="2" t="s">
        <v>23</v>
      </c>
      <c r="C4" s="2" t="s">
        <v>24</v>
      </c>
      <c r="D4" s="2" t="s">
        <v>25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33</v>
      </c>
      <c r="M4" s="3">
        <v>46244</v>
      </c>
      <c r="N4" s="2" t="str">
        <f t="shared" ca="1" si="0"/>
        <v>Activa</v>
      </c>
      <c r="O4" s="2"/>
      <c r="P4" s="3"/>
      <c r="Q4" s="2" t="str">
        <f t="shared" ca="1" si="1"/>
        <v>Sí</v>
      </c>
      <c r="R4" s="2"/>
      <c r="S4" s="2"/>
      <c r="T4" s="2"/>
      <c r="U4" s="2"/>
      <c r="V4" s="3"/>
    </row>
    <row r="5" spans="1:22" ht="28">
      <c r="A5" s="2" t="s">
        <v>50</v>
      </c>
      <c r="B5" s="2" t="s">
        <v>23</v>
      </c>
      <c r="C5" s="2" t="s">
        <v>24</v>
      </c>
      <c r="D5" s="2" t="s">
        <v>25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47</v>
      </c>
      <c r="J5" s="2" t="s">
        <v>55</v>
      </c>
      <c r="K5" s="2" t="s">
        <v>56</v>
      </c>
      <c r="L5" s="2" t="s">
        <v>33</v>
      </c>
      <c r="M5" s="3">
        <v>46223</v>
      </c>
      <c r="N5" s="2" t="str">
        <f t="shared" ca="1" si="0"/>
        <v>Activa</v>
      </c>
      <c r="O5" s="2"/>
      <c r="P5" s="3"/>
      <c r="Q5" s="2" t="str">
        <f t="shared" ca="1" si="1"/>
        <v>Sí</v>
      </c>
      <c r="R5" s="2"/>
      <c r="S5" s="2"/>
      <c r="T5" s="2"/>
      <c r="U5" s="2"/>
      <c r="V5" s="3"/>
    </row>
    <row r="6" spans="1:22" ht="28">
      <c r="A6" s="2" t="s">
        <v>57</v>
      </c>
      <c r="B6" s="2" t="s">
        <v>23</v>
      </c>
      <c r="C6" s="2" t="s">
        <v>24</v>
      </c>
      <c r="D6" s="2" t="s">
        <v>25</v>
      </c>
      <c r="E6" s="2" t="s">
        <v>58</v>
      </c>
      <c r="F6" s="2" t="s">
        <v>59</v>
      </c>
      <c r="G6" s="2" t="s">
        <v>28</v>
      </c>
      <c r="H6" s="2" t="s">
        <v>60</v>
      </c>
      <c r="I6" s="2" t="s">
        <v>61</v>
      </c>
      <c r="J6" s="2" t="s">
        <v>62</v>
      </c>
      <c r="K6" s="2" t="s">
        <v>32</v>
      </c>
      <c r="L6" s="2" t="s">
        <v>33</v>
      </c>
      <c r="M6" s="3">
        <v>46188</v>
      </c>
      <c r="N6" s="2" t="str">
        <f t="shared" ca="1" si="0"/>
        <v>Activa</v>
      </c>
      <c r="O6" s="2"/>
      <c r="P6" s="3"/>
      <c r="Q6" s="2" t="str">
        <f t="shared" ca="1" si="1"/>
        <v>Sí</v>
      </c>
      <c r="R6" s="2"/>
      <c r="S6" s="2"/>
      <c r="T6" s="2"/>
      <c r="U6" s="2"/>
      <c r="V6" s="3"/>
    </row>
    <row r="7" spans="1:22" ht="28">
      <c r="A7" s="2" t="s">
        <v>63</v>
      </c>
      <c r="B7" s="2" t="s">
        <v>23</v>
      </c>
      <c r="C7" s="2" t="s">
        <v>24</v>
      </c>
      <c r="D7" s="2" t="s">
        <v>25</v>
      </c>
      <c r="E7" s="2" t="s">
        <v>64</v>
      </c>
      <c r="F7" s="2" t="s">
        <v>65</v>
      </c>
      <c r="G7" s="2" t="s">
        <v>37</v>
      </c>
      <c r="H7" s="2" t="s">
        <v>66</v>
      </c>
      <c r="I7" s="2" t="s">
        <v>30</v>
      </c>
      <c r="J7" s="2" t="s">
        <v>67</v>
      </c>
      <c r="K7" s="2" t="s">
        <v>41</v>
      </c>
      <c r="L7" s="2" t="s">
        <v>33</v>
      </c>
      <c r="M7" s="3">
        <v>46204</v>
      </c>
      <c r="N7" s="2" t="str">
        <f t="shared" ca="1" si="0"/>
        <v>Activa</v>
      </c>
      <c r="O7" s="2"/>
      <c r="P7" s="3"/>
      <c r="Q7" s="2" t="str">
        <f t="shared" ca="1" si="1"/>
        <v>Sí</v>
      </c>
      <c r="R7" s="2"/>
      <c r="S7" s="2"/>
      <c r="T7" s="2"/>
      <c r="U7" s="2"/>
      <c r="V7" s="3"/>
    </row>
    <row r="8" spans="1:22" ht="28">
      <c r="A8" s="2" t="s">
        <v>68</v>
      </c>
      <c r="B8" s="2" t="s">
        <v>23</v>
      </c>
      <c r="C8" s="2" t="s">
        <v>24</v>
      </c>
      <c r="D8" s="2" t="s">
        <v>25</v>
      </c>
      <c r="E8" s="2" t="s">
        <v>69</v>
      </c>
      <c r="F8" s="2" t="s">
        <v>70</v>
      </c>
      <c r="G8" s="2" t="s">
        <v>28</v>
      </c>
      <c r="H8" s="2" t="s">
        <v>71</v>
      </c>
      <c r="I8" s="2" t="s">
        <v>47</v>
      </c>
      <c r="J8" s="2" t="s">
        <v>72</v>
      </c>
      <c r="K8" s="2" t="s">
        <v>56</v>
      </c>
      <c r="L8" s="2" t="s">
        <v>33</v>
      </c>
      <c r="M8" s="3">
        <v>46264</v>
      </c>
      <c r="N8" s="2" t="str">
        <f t="shared" ca="1" si="0"/>
        <v>Activa</v>
      </c>
      <c r="O8" s="2"/>
      <c r="P8" s="3"/>
      <c r="Q8" s="2" t="str">
        <f t="shared" ca="1" si="1"/>
        <v>Sí</v>
      </c>
      <c r="R8" s="2"/>
      <c r="S8" s="2"/>
      <c r="T8" s="2"/>
      <c r="U8" s="2"/>
      <c r="V8" s="3"/>
    </row>
    <row r="9" spans="1:22" ht="28">
      <c r="A9" s="2" t="s">
        <v>73</v>
      </c>
      <c r="B9" s="2" t="s">
        <v>23</v>
      </c>
      <c r="C9" s="2" t="s">
        <v>24</v>
      </c>
      <c r="D9" s="2" t="s">
        <v>25</v>
      </c>
      <c r="E9" s="2" t="s">
        <v>74</v>
      </c>
      <c r="F9" s="2" t="s">
        <v>65</v>
      </c>
      <c r="G9" s="2" t="s">
        <v>37</v>
      </c>
      <c r="H9" s="2" t="s">
        <v>75</v>
      </c>
      <c r="I9" s="2" t="s">
        <v>30</v>
      </c>
      <c r="J9" s="2" t="s">
        <v>76</v>
      </c>
      <c r="K9" s="2" t="s">
        <v>49</v>
      </c>
      <c r="L9" s="2" t="s">
        <v>33</v>
      </c>
      <c r="M9" s="3">
        <v>46215</v>
      </c>
      <c r="N9" s="2" t="str">
        <f t="shared" ca="1" si="0"/>
        <v>Activa</v>
      </c>
      <c r="O9" s="2"/>
      <c r="P9" s="3"/>
      <c r="Q9" s="2" t="str">
        <f t="shared" ca="1" si="1"/>
        <v>Sí</v>
      </c>
      <c r="R9" s="2"/>
      <c r="S9" s="2"/>
      <c r="T9" s="2"/>
      <c r="U9" s="2"/>
      <c r="V9" s="3"/>
    </row>
    <row r="10" spans="1:22" ht="28">
      <c r="A10" s="2" t="s">
        <v>77</v>
      </c>
      <c r="B10" s="2" t="s">
        <v>23</v>
      </c>
      <c r="C10" s="2" t="s">
        <v>24</v>
      </c>
      <c r="D10" s="2" t="s">
        <v>25</v>
      </c>
      <c r="E10" s="2" t="s">
        <v>78</v>
      </c>
      <c r="F10" s="2" t="s">
        <v>44</v>
      </c>
      <c r="G10" s="2" t="s">
        <v>37</v>
      </c>
      <c r="H10" s="2" t="s">
        <v>38</v>
      </c>
      <c r="I10" s="2" t="s">
        <v>39</v>
      </c>
      <c r="J10" s="2" t="s">
        <v>79</v>
      </c>
      <c r="K10" s="2" t="s">
        <v>32</v>
      </c>
      <c r="L10" s="2" t="s">
        <v>33</v>
      </c>
      <c r="M10" s="3">
        <v>46221</v>
      </c>
      <c r="N10" s="2" t="str">
        <f t="shared" ca="1" si="0"/>
        <v>Activa</v>
      </c>
      <c r="O10" s="2"/>
      <c r="P10" s="3"/>
      <c r="Q10" s="2" t="str">
        <f t="shared" ca="1" si="1"/>
        <v>Sí</v>
      </c>
      <c r="R10" s="2"/>
      <c r="S10" s="2"/>
      <c r="T10" s="2"/>
      <c r="U10" s="2"/>
      <c r="V10" s="3"/>
    </row>
    <row r="11" spans="1:22" ht="28">
      <c r="A11" s="2" t="s">
        <v>80</v>
      </c>
      <c r="B11" s="2" t="s">
        <v>23</v>
      </c>
      <c r="C11" s="2" t="s">
        <v>24</v>
      </c>
      <c r="D11" s="2" t="s">
        <v>25</v>
      </c>
      <c r="E11" s="2" t="s">
        <v>81</v>
      </c>
      <c r="F11" s="2" t="s">
        <v>70</v>
      </c>
      <c r="G11" s="2" t="s">
        <v>45</v>
      </c>
      <c r="H11" s="2" t="s">
        <v>46</v>
      </c>
      <c r="I11" s="2" t="s">
        <v>47</v>
      </c>
      <c r="J11" s="2" t="s">
        <v>82</v>
      </c>
      <c r="K11" s="2" t="s">
        <v>56</v>
      </c>
      <c r="L11" s="2" t="s">
        <v>33</v>
      </c>
      <c r="M11" s="3">
        <v>46266</v>
      </c>
      <c r="N11" s="2" t="str">
        <f t="shared" ca="1" si="0"/>
        <v>Activa</v>
      </c>
      <c r="O11" s="2"/>
      <c r="P11" s="3"/>
      <c r="Q11" s="2" t="str">
        <f t="shared" ca="1" si="1"/>
        <v>Sí</v>
      </c>
      <c r="R11" s="2"/>
      <c r="S11" s="2"/>
      <c r="T11" s="2"/>
      <c r="U11" s="2"/>
      <c r="V11" s="3"/>
    </row>
    <row r="12" spans="1:22" ht="28">
      <c r="A12" s="2" t="s">
        <v>83</v>
      </c>
      <c r="B12" s="2" t="s">
        <v>23</v>
      </c>
      <c r="C12" s="2" t="s">
        <v>24</v>
      </c>
      <c r="D12" s="2" t="s">
        <v>25</v>
      </c>
      <c r="E12" s="2" t="s">
        <v>84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85</v>
      </c>
      <c r="K12" s="2" t="s">
        <v>41</v>
      </c>
      <c r="L12" s="2" t="s">
        <v>33</v>
      </c>
      <c r="M12" s="3">
        <v>46174</v>
      </c>
      <c r="N12" s="2" t="str">
        <f t="shared" ca="1" si="0"/>
        <v>Caducada</v>
      </c>
      <c r="O12" s="2"/>
      <c r="P12" s="3"/>
      <c r="Q12" s="2" t="str">
        <f t="shared" ca="1" si="1"/>
        <v>Sí</v>
      </c>
      <c r="R12" s="2"/>
      <c r="S12" s="2"/>
      <c r="T12" s="2"/>
      <c r="U12" s="2"/>
      <c r="V12" s="3"/>
    </row>
    <row r="13" spans="1:22" ht="28">
      <c r="A13" s="2" t="s">
        <v>86</v>
      </c>
      <c r="B13" s="2" t="s">
        <v>23</v>
      </c>
      <c r="C13" s="2" t="s">
        <v>24</v>
      </c>
      <c r="D13" s="2" t="s">
        <v>25</v>
      </c>
      <c r="E13" s="2" t="s">
        <v>87</v>
      </c>
      <c r="F13" s="2" t="s">
        <v>65</v>
      </c>
      <c r="G13" s="2" t="s">
        <v>37</v>
      </c>
      <c r="H13" s="2" t="s">
        <v>66</v>
      </c>
      <c r="I13" s="2" t="s">
        <v>30</v>
      </c>
      <c r="J13" s="2" t="s">
        <v>88</v>
      </c>
      <c r="K13" s="2" t="s">
        <v>49</v>
      </c>
      <c r="L13" s="2" t="s">
        <v>33</v>
      </c>
      <c r="M13" s="3">
        <v>46167</v>
      </c>
      <c r="N13" s="2" t="str">
        <f t="shared" ca="1" si="0"/>
        <v>Caducada</v>
      </c>
      <c r="O13" s="2"/>
      <c r="P13" s="3"/>
      <c r="Q13" s="2" t="str">
        <f t="shared" ca="1" si="1"/>
        <v>Sí</v>
      </c>
      <c r="R13" s="2"/>
      <c r="S13" s="2"/>
      <c r="T13" s="2"/>
      <c r="U13" s="2"/>
      <c r="V13" s="3"/>
    </row>
    <row r="14" spans="1:22" ht="28">
      <c r="A14" s="2" t="s">
        <v>89</v>
      </c>
      <c r="B14" s="2" t="s">
        <v>23</v>
      </c>
      <c r="C14" s="2" t="s">
        <v>24</v>
      </c>
      <c r="D14" s="2" t="s">
        <v>90</v>
      </c>
      <c r="E14" s="2" t="s">
        <v>91</v>
      </c>
      <c r="F14" s="2" t="s">
        <v>65</v>
      </c>
      <c r="G14" s="2" t="s">
        <v>37</v>
      </c>
      <c r="H14" s="2" t="s">
        <v>66</v>
      </c>
      <c r="I14" s="2" t="s">
        <v>92</v>
      </c>
      <c r="J14" s="2" t="s">
        <v>93</v>
      </c>
      <c r="K14" s="2" t="s">
        <v>32</v>
      </c>
      <c r="L14" s="2" t="s">
        <v>90</v>
      </c>
      <c r="M14" s="3">
        <v>46233</v>
      </c>
      <c r="N14" s="2" t="str">
        <f t="shared" ca="1" si="0"/>
        <v>Pendiente de aprobación</v>
      </c>
      <c r="O14" s="2"/>
      <c r="P14" s="3"/>
      <c r="Q14" s="2" t="str">
        <f t="shared" ca="1" si="1"/>
        <v>No</v>
      </c>
      <c r="R14" s="2"/>
      <c r="S14" s="2"/>
      <c r="T14" s="2"/>
      <c r="U14" s="2"/>
      <c r="V14" s="3"/>
    </row>
    <row r="15" spans="1:22" ht="28">
      <c r="A15" s="2" t="s">
        <v>94</v>
      </c>
      <c r="B15" s="2" t="s">
        <v>23</v>
      </c>
      <c r="C15" s="2" t="s">
        <v>24</v>
      </c>
      <c r="D15" s="2" t="s">
        <v>25</v>
      </c>
      <c r="E15" s="2" t="s">
        <v>95</v>
      </c>
      <c r="F15" s="2" t="s">
        <v>52</v>
      </c>
      <c r="G15" s="2" t="s">
        <v>53</v>
      </c>
      <c r="H15" s="2" t="s">
        <v>54</v>
      </c>
      <c r="I15" s="2" t="s">
        <v>47</v>
      </c>
      <c r="J15" s="2" t="s">
        <v>96</v>
      </c>
      <c r="K15" s="2" t="s">
        <v>56</v>
      </c>
      <c r="L15" s="2" t="s">
        <v>90</v>
      </c>
      <c r="M15" s="3">
        <v>46249</v>
      </c>
      <c r="N15" s="2" t="str">
        <f t="shared" ca="1" si="0"/>
        <v>Pendiente de aprobación</v>
      </c>
      <c r="O15" s="2"/>
      <c r="P15" s="3"/>
      <c r="Q15" s="2" t="str">
        <f t="shared" ca="1" si="1"/>
        <v>No</v>
      </c>
      <c r="R15" s="2"/>
      <c r="S15" s="2"/>
      <c r="T15" s="2"/>
      <c r="U15" s="2"/>
      <c r="V15" s="3"/>
    </row>
    <row r="16" spans="1:22" ht="28">
      <c r="A16" s="2" t="s">
        <v>97</v>
      </c>
      <c r="B16" s="2" t="s">
        <v>23</v>
      </c>
      <c r="C16" s="2" t="s">
        <v>24</v>
      </c>
      <c r="D16" s="2" t="s">
        <v>25</v>
      </c>
      <c r="E16" s="2" t="s">
        <v>98</v>
      </c>
      <c r="F16" s="2" t="s">
        <v>44</v>
      </c>
      <c r="G16" s="2" t="s">
        <v>45</v>
      </c>
      <c r="H16" s="2" t="s">
        <v>46</v>
      </c>
      <c r="I16" s="2" t="s">
        <v>47</v>
      </c>
      <c r="J16" s="2" t="s">
        <v>99</v>
      </c>
      <c r="K16" s="2" t="s">
        <v>49</v>
      </c>
      <c r="L16" s="2" t="s">
        <v>100</v>
      </c>
      <c r="M16" s="3">
        <v>46225</v>
      </c>
      <c r="N16" s="2" t="str">
        <f t="shared" ca="1" si="0"/>
        <v>Rechazada</v>
      </c>
      <c r="O16" s="2"/>
      <c r="P16" s="3"/>
      <c r="Q16" s="2" t="str">
        <f t="shared" ca="1" si="1"/>
        <v>No</v>
      </c>
      <c r="R16" s="2"/>
      <c r="S16" s="2"/>
      <c r="T16" s="2"/>
      <c r="U16" s="2"/>
      <c r="V16" s="3"/>
    </row>
    <row r="17" spans="1:22" ht="28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36</v>
      </c>
      <c r="G17" s="2" t="s">
        <v>37</v>
      </c>
      <c r="H17" s="2" t="s">
        <v>38</v>
      </c>
      <c r="I17" s="2" t="s">
        <v>39</v>
      </c>
      <c r="J17" s="2" t="s">
        <v>106</v>
      </c>
      <c r="K17" s="2" t="s">
        <v>41</v>
      </c>
      <c r="L17" s="2" t="s">
        <v>103</v>
      </c>
      <c r="M17" s="3">
        <v>46239</v>
      </c>
      <c r="N17" s="2" t="str">
        <f t="shared" ca="1" si="0"/>
        <v>Borrador</v>
      </c>
      <c r="O17" s="2"/>
      <c r="P17" s="3"/>
      <c r="Q17" s="2" t="str">
        <f t="shared" ca="1" si="1"/>
        <v>No</v>
      </c>
      <c r="R17" s="2"/>
      <c r="S17" s="2"/>
      <c r="T17" s="2"/>
      <c r="U17" s="2"/>
      <c r="V17" s="3"/>
    </row>
    <row r="18" spans="1:22">
      <c r="M18" s="4"/>
      <c r="P18" s="4"/>
      <c r="V18" s="4"/>
    </row>
    <row r="19" spans="1:22">
      <c r="M19" s="4"/>
      <c r="P19" s="4"/>
      <c r="V19" s="4"/>
    </row>
    <row r="20" spans="1:22">
      <c r="M20" s="4"/>
      <c r="P20" s="4"/>
      <c r="V20" s="4"/>
    </row>
    <row r="21" spans="1:22">
      <c r="M21" s="4"/>
      <c r="P21" s="4"/>
      <c r="V21" s="4"/>
    </row>
    <row r="22" spans="1:22">
      <c r="M22" s="4"/>
      <c r="P22" s="4"/>
      <c r="V22" s="4"/>
    </row>
    <row r="23" spans="1:22">
      <c r="M23" s="4"/>
      <c r="P23" s="4"/>
      <c r="V23" s="4"/>
    </row>
    <row r="24" spans="1:22">
      <c r="M24" s="4"/>
      <c r="P24" s="4"/>
      <c r="V24" s="4"/>
    </row>
    <row r="25" spans="1:22">
      <c r="M25" s="4"/>
      <c r="P25" s="4"/>
      <c r="V25" s="4"/>
    </row>
    <row r="26" spans="1:22">
      <c r="M26" s="4"/>
      <c r="P26" s="4"/>
      <c r="V26" s="4"/>
    </row>
    <row r="27" spans="1:22">
      <c r="M27" s="4"/>
      <c r="P27" s="4"/>
      <c r="V27" s="4"/>
    </row>
    <row r="28" spans="1:22">
      <c r="M28" s="4"/>
      <c r="P28" s="4"/>
      <c r="V28" s="4"/>
    </row>
    <row r="29" spans="1:22">
      <c r="M29" s="4"/>
      <c r="P29" s="4"/>
      <c r="V29" s="4"/>
    </row>
    <row r="30" spans="1:22">
      <c r="M30" s="4"/>
      <c r="P30" s="4"/>
      <c r="V30" s="4"/>
    </row>
    <row r="31" spans="1:22">
      <c r="M31" s="4"/>
      <c r="P31" s="4"/>
      <c r="V31" s="4"/>
    </row>
    <row r="32" spans="1:22">
      <c r="M32" s="4"/>
      <c r="P32" s="4"/>
      <c r="V32" s="4"/>
    </row>
    <row r="33" spans="13:22">
      <c r="M33" s="4"/>
      <c r="P33" s="4"/>
      <c r="V33" s="4"/>
    </row>
    <row r="34" spans="13:22">
      <c r="M34" s="4"/>
      <c r="P34" s="4"/>
      <c r="V34" s="4"/>
    </row>
    <row r="35" spans="13:22">
      <c r="M35" s="4"/>
      <c r="P35" s="4"/>
      <c r="V35" s="4"/>
    </row>
    <row r="36" spans="13:22">
      <c r="M36" s="4"/>
      <c r="P36" s="4"/>
      <c r="V36" s="4"/>
    </row>
    <row r="37" spans="13:22">
      <c r="M37" s="4"/>
      <c r="P37" s="4"/>
      <c r="V37" s="4"/>
    </row>
    <row r="38" spans="13:22">
      <c r="M38" s="4"/>
      <c r="P38" s="4"/>
      <c r="V38" s="4"/>
    </row>
    <row r="39" spans="13:22">
      <c r="M39" s="4"/>
      <c r="P39" s="4"/>
      <c r="V39" s="4"/>
    </row>
    <row r="40" spans="13:22">
      <c r="M40" s="4"/>
      <c r="P40" s="4"/>
      <c r="V40" s="4"/>
    </row>
    <row r="41" spans="13:22">
      <c r="M41" s="4"/>
      <c r="P41" s="4"/>
      <c r="V41" s="4"/>
    </row>
    <row r="42" spans="13:22">
      <c r="M42" s="4"/>
      <c r="P42" s="4"/>
      <c r="V42" s="4"/>
    </row>
    <row r="43" spans="13:22">
      <c r="M43" s="4"/>
      <c r="P43" s="4"/>
      <c r="V43" s="4"/>
    </row>
    <row r="44" spans="13:22">
      <c r="M44" s="4"/>
      <c r="P44" s="4"/>
      <c r="V44" s="4"/>
    </row>
    <row r="45" spans="13:22">
      <c r="M45" s="4"/>
      <c r="P45" s="4"/>
      <c r="V45" s="4"/>
    </row>
    <row r="46" spans="13:22">
      <c r="M46" s="4"/>
      <c r="P46" s="4"/>
      <c r="V46" s="4"/>
    </row>
    <row r="47" spans="13:22">
      <c r="M47" s="4"/>
      <c r="P47" s="4"/>
      <c r="V47" s="4"/>
    </row>
    <row r="48" spans="13:22">
      <c r="M48" s="4"/>
      <c r="P48" s="4"/>
      <c r="V48" s="4"/>
    </row>
    <row r="49" spans="13:22">
      <c r="M49" s="4"/>
      <c r="P49" s="4"/>
      <c r="V49" s="4"/>
    </row>
    <row r="50" spans="13:22">
      <c r="M50" s="4"/>
      <c r="P50" s="4"/>
      <c r="V50" s="4"/>
    </row>
  </sheetData>
  <conditionalFormatting sqref="N2:N17">
    <cfRule type="expression" dxfId="2" priority="1">
      <formula>$N2="Caducada"</formula>
    </cfRule>
  </conditionalFormatting>
  <conditionalFormatting sqref="S2:S17">
    <cfRule type="expression" dxfId="1" priority="2">
      <formula>$S2="Alto"</formula>
    </cfRule>
    <cfRule type="expression" dxfId="0" priority="3">
      <formula>$S2="Crítico"</formula>
    </cfRule>
  </conditionalFormatting>
  <dataValidations count="10">
    <dataValidation type="list" sqref="B2:B50 Q2:Q50" xr:uid="{00000000-0002-0000-0000-000000000000}">
      <formula1>"Sí,No"</formula1>
    </dataValidation>
    <dataValidation type="list" sqref="C2:C50" xr:uid="{00000000-0002-0000-0000-000001000000}">
      <formula1>"No enviado,Enviado"</formula1>
    </dataValidation>
    <dataValidation type="list" sqref="D2:D50" xr:uid="{00000000-0002-0000-0000-000002000000}">
      <formula1>"No iniciado,Pendiente,Completado"</formula1>
    </dataValidation>
    <dataValidation type="list" sqref="F2:F50" xr:uid="{00000000-0002-0000-0000-000003000000}">
      <formula1>"Administración,Atención sanitaria,Clínico,Dirección,IT,Operaciones,Proyectos"</formula1>
    </dataValidation>
    <dataValidation type="list" sqref="G2:G50" xr:uid="{00000000-0002-0000-0000-000004000000}">
      <formula1>"Endpoint devices,Exchange,OneDrive,SharePoint"</formula1>
    </dataValidation>
    <dataValidation type="list" sqref="H2:H50" xr:uid="{00000000-0002-0000-0000-000005000000}">
      <formula1>_xlfn._LONGTEXT("[Endpoint] EXCL Non-medical Data,[Exchange] EXCL Medical Data - Exchange to Webmail,[SharePoint] EXCL Extraction of large files,[Endpoint] EXCL Extraction of large files,[Exchange] EXCL Non-medical Data - General Email,[OneDrive] EXCL Extraction of large ","files,[Endpoint] EXCL Medical Data,[Exchange] EXCL Non-medical Data - Exchange to Webmail")</formula1>
    </dataValidation>
    <dataValidation type="list" sqref="L2:L50" xr:uid="{00000000-0002-0000-0000-000006000000}">
      <formula1>"No enviado,Pendiente,Aprobado,Rechazado"</formula1>
    </dataValidation>
    <dataValidation type="list" sqref="N2:N50" xr:uid="{00000000-0002-0000-0000-000007000000}">
      <formula1>"Borrador,Pendiente de aprobación,Activa,Caducada,Rechazada"</formula1>
    </dataValidation>
    <dataValidation type="list" sqref="S2:S50" xr:uid="{00000000-0002-0000-0000-000009000000}">
      <formula1>"Bajo,Medio,Alto,Crítico"</formula1>
    </dataValidation>
    <dataValidation type="list" sqref="U2:U50" xr:uid="{00000000-0002-0000-0000-00000A000000}">
      <formula1>"Renovar,Revisar,Retirar,Escalar,Cerrar,Solicitar información"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DLP_Excepciones_MVP_ES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 Vázquez Llano</cp:lastModifiedBy>
  <dcterms:modified xsi:type="dcterms:W3CDTF">2026-06-12T09:23:42Z</dcterms:modified>
</cp:coreProperties>
</file>